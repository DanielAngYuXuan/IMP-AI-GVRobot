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B5424E1-184D-4BD5-9589-F4BC0687D7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ntt Cha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" l="1"/>
  <c r="F25" i="1"/>
  <c r="F24" i="1"/>
  <c r="F23" i="1"/>
  <c r="F22" i="1"/>
  <c r="D21" i="1"/>
  <c r="C21" i="1"/>
  <c r="F21" i="1" s="1"/>
  <c r="F20" i="1"/>
  <c r="F19" i="1"/>
  <c r="F18" i="1"/>
  <c r="F17" i="1"/>
  <c r="F16" i="1"/>
  <c r="F15" i="1"/>
  <c r="D14" i="1"/>
  <c r="C14" i="1"/>
  <c r="F14" i="1" s="1"/>
  <c r="F13" i="1"/>
  <c r="F12" i="1"/>
  <c r="F11" i="1"/>
  <c r="D10" i="1"/>
  <c r="C10" i="1"/>
  <c r="F10" i="1" s="1"/>
  <c r="F9" i="1"/>
  <c r="H8" i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</calcChain>
</file>

<file path=xl/sharedStrings.xml><?xml version="1.0" encoding="utf-8"?>
<sst xmlns="http://schemas.openxmlformats.org/spreadsheetml/2006/main" count="111" uniqueCount="70">
  <si>
    <t>GANTT CHART</t>
  </si>
  <si>
    <t>PROJECT TITLE</t>
  </si>
  <si>
    <t>A Voice Controlled and Gesture-Based Robot</t>
  </si>
  <si>
    <t>NAME</t>
  </si>
  <si>
    <t>Daniel Ang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</si>
  <si>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</si>
  <si>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</si>
  <si>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</si>
  <si>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</si>
  <si>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</si>
  <si>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</si>
  <si>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</si>
  <si>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</si>
  <si>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</si>
  <si>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Number</t>
  </si>
  <si>
    <t>TASK TITLE</t>
  </si>
  <si>
    <t>START DATE</t>
  </si>
  <si>
    <t>END DATE</t>
  </si>
  <si>
    <t>Notes</t>
  </si>
  <si>
    <t>TARGET DURATION</t>
  </si>
  <si>
    <t>M</t>
  </si>
  <si>
    <t>T</t>
  </si>
  <si>
    <t>W</t>
  </si>
  <si>
    <t>F</t>
  </si>
  <si>
    <t>1</t>
  </si>
  <si>
    <t>Obtaining items and quality check</t>
  </si>
  <si>
    <t>Before start of trimester/part b</t>
  </si>
  <si>
    <t>Phase 1</t>
  </si>
  <si>
    <t>Hardware configuration and setup/Robot design</t>
  </si>
  <si>
    <t>2</t>
  </si>
  <si>
    <t>3D print parts</t>
  </si>
  <si>
    <t>3</t>
  </si>
  <si>
    <t>Raspberry Pi Pin allocation</t>
  </si>
  <si>
    <t>4</t>
  </si>
  <si>
    <t>Wiring Circuit and Assembly</t>
  </si>
  <si>
    <t>Phase 2</t>
  </si>
  <si>
    <t>Software Configuration</t>
  </si>
  <si>
    <t>5</t>
  </si>
  <si>
    <t>L298N Motor Driver Code Configuration</t>
  </si>
  <si>
    <t>Basic Obstacle avoidance</t>
  </si>
  <si>
    <t>6</t>
  </si>
  <si>
    <t>Ultrasonic Sensor Code Configuration</t>
  </si>
  <si>
    <t>Basic Obstacle Avoidance</t>
  </si>
  <si>
    <t>7</t>
  </si>
  <si>
    <t>Microphone/Speaker Code Configuration</t>
  </si>
  <si>
    <t>Voice Recognition</t>
  </si>
  <si>
    <t>8</t>
  </si>
  <si>
    <t>Camera and Pi Hat Configuration</t>
  </si>
  <si>
    <t>Gesture Recognition</t>
  </si>
  <si>
    <t>9</t>
  </si>
  <si>
    <t>Designing user interface on Visual Studio</t>
  </si>
  <si>
    <t>10</t>
  </si>
  <si>
    <t>Testing and Debugging of Robot</t>
  </si>
  <si>
    <t>Phase 3</t>
  </si>
  <si>
    <t>Consolidation</t>
  </si>
  <si>
    <t>11</t>
  </si>
  <si>
    <t>Final testing and troubleshooting of Robot</t>
  </si>
  <si>
    <t>12</t>
  </si>
  <si>
    <t>Video Recording of Robot Operation</t>
  </si>
  <si>
    <t>13</t>
  </si>
  <si>
    <t>Project Documentation</t>
  </si>
  <si>
    <t>Final Project Report</t>
  </si>
  <si>
    <t>14</t>
  </si>
  <si>
    <t>Final presentation preparation</t>
  </si>
  <si>
    <t>Final presentation 25 Nov</t>
  </si>
  <si>
    <t>Legend / notes</t>
  </si>
  <si>
    <t>Edit only the blue cells: project start (C4), final presentation (F4) and each task's START / END DATE. Bars, phase dates and durations update automatically.</t>
  </si>
  <si>
    <t>Dark grey bar = phase span (earliest start to latest end of its tasks). Blue bar = task.</t>
  </si>
  <si>
    <t>Assumption: the original 12-week template was compressed to 9 weeks (28 Sep to 25 Nov 2026); task dates are proposed and can be adjusted. Task 14 (final presentation prep) was added.</t>
  </si>
  <si>
    <t>Duration counts working days (Mon-Fri). Project title is a placeholder; edit C3.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</si>
</sst>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 yyyy"/>
    <numFmt numFmtId="165" formatCode="d\ mmm"/>
    <numFmt numFmtId="166" formatCode="d\ mmm\ yy"/>
  </numFmts>
  <fonts count="8" x14ac:knownFonts="1">
    <font>
      <sz val="11"/>
      <color theme="1"/>
      <name val="Calibri"/>
      <family val="2"/>
      <charset val="1"/>
    </font>
    <font>
      <b/>
      <sz val="20"/>
      <color rgb="FF0B4F94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b/>
      <sz val="8"/>
      <color rgb="FFFFFFFF"/>
      <name val="Arial"/>
      <charset val="1"/>
    </font>
    <font>
      <b/>
      <sz val="8"/>
      <name val="Arial"/>
      <charset val="1"/>
    </font>
    <font>
      <sz val="7"/>
      <name val="Arial"/>
      <charset val="1"/>
    </font>
    <font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5FA8"/>
        <bgColor rgb="FF0B4F94"/>
      </patternFill>
    </fill>
    <fill>
      <patternFill patternType="solid">
        <fgColor rgb="FF3F8A9B"/>
        <bgColor rgb="FF008080"/>
      </patternFill>
    </fill>
    <fill>
      <patternFill patternType="solid">
        <fgColor rgb="FFC55A11"/>
        <bgColor rgb="FF993300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A6A6A6"/>
        <bgColor rgb="FFBFBFBF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B4F94"/>
      </bottom>
      <diagonal/>
    </border>
    <border>
      <left/>
      <right/>
      <top/>
      <bottom style="hair">
        <color rgb="FFBFBFBF"/>
      </bottom>
      <diagonal/>
    </border>
    <border>
      <left/>
      <right style="hair">
        <color rgb="FFBFBFBF"/>
      </right>
      <top/>
      <bottom style="hair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5" fillId="6" borderId="0" xfId="0" applyFont="1" applyFill="1" applyAlignment="1">
      <alignment horizontal="center"/>
    </xf>
    <xf numFmtId="165" fontId="6" fillId="0" borderId="0" xfId="0" applyNumberFormat="1" applyFont="1" applyAlignment="1">
      <alignment horizontal="center" vertical="center" textRotation="90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166" fontId="3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3" xfId="0" applyBorder="1"/>
    <xf numFmtId="0" fontId="7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 wrapText="1"/>
    </xf>
    <xf numFmtId="166" fontId="7" fillId="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0" borderId="0" xfId="0" applyFont="1"/>
    <xf numFmtId="0" fontId="0" fillId="8" borderId="3" xfId="0" applyFill="1" applyBorder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rgb="FF0070C0"/>
        </patternFill>
      </fill>
    </dxf>
    <dxf>
      <fill>
        <patternFill>
          <bgColor rgb="FF595959"/>
        </patternFill>
      </fill>
    </dxf>
    <dxf>
      <fill>
        <patternFill>
          <bgColor rgb="FF0070C0"/>
        </patternFill>
      </fill>
    </dxf>
    <dxf>
      <fill>
        <patternFill>
          <bgColor rgb="FF59595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5FA8"/>
      <rgbColor rgb="FF33CCCC"/>
      <rgbColor rgb="FF99CC00"/>
      <rgbColor rgb="FFFFCC00"/>
      <rgbColor rgb="FFFF9900"/>
      <rgbColor rgb="FFC55A11"/>
      <rgbColor rgb="FF595959"/>
      <rgbColor rgb="FFA6A6A6"/>
      <rgbColor rgb="FF0B4F94"/>
      <rgbColor rgb="FF3F8A9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31"/>
  <sheetViews>
    <sheetView showGridLines="0" tabSelected="1" zoomScale="70" zoomScaleNormal="70" workbookViewId="0">
      <pane ySplit="8" topLeftCell="A9" activePane="bottomLeft" state="frozen"/>
      <selection pane="bottomLeft" activeCell="V10" sqref="V10"/>
    </sheetView>
  </sheetViews>
  <sheetFormatPr defaultColWidth="8.7109375" defaultRowHeight="15" x14ac:dyDescent="0.25"/>
  <cols>
    <col min="1" max="1" width="8" customWidth="1"/>
    <col min="2" max="2" width="40" customWidth="1"/>
    <col min="3" max="3" width="37" customWidth="1"/>
    <col min="4" max="4" width="11" customWidth="1"/>
    <col min="5" max="5" width="22" customWidth="1"/>
    <col min="6" max="6" width="12" customWidth="1"/>
    <col min="7" max="51" width="3.28515625" customWidth="1"/>
  </cols>
  <sheetData>
    <row r="1" spans="1:51" ht="26.25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3" spans="1:51" x14ac:dyDescent="0.25">
      <c r="A3" s="3" t="s">
        <v>1</v>
      </c>
      <c r="C3" s="4" t="s">
        <v>2</v>
      </c>
      <c r="E3" s="3" t="s">
        <v>3</v>
      </c>
      <c r="F3" s="4" t="s">
        <v>4</v>
      </c>
    </row>
    <row r="4" spans="1:51" x14ac:dyDescent="0.25">
      <c r="A4" s="3"/>
      <c r="C4" s="5">
        <v>46293</v>
      </c>
      <c r="E4" s="3"/>
      <c r="F4" s="5"/>
    </row>
    <row r="6" spans="1:51" x14ac:dyDescent="0.25">
      <c r="G6" s="24" t="s">
        <v>5</v>
      </c>
      <c r="H6" s="24"/>
      <c r="I6" s="24"/>
      <c r="J6" s="24"/>
      <c r="K6" s="24"/>
      <c r="L6" s="24" t="s">
        <v>6</v>
      </c>
      <c r="M6" s="24"/>
      <c r="N6" s="24"/>
      <c r="O6" s="24"/>
      <c r="P6" s="24"/>
      <c r="Q6" s="24" t="s">
        <v>7</v>
      </c>
      <c r="R6" s="24"/>
      <c r="S6" s="24"/>
      <c r="T6" s="24"/>
      <c r="U6" s="24"/>
      <c r="V6" s="21" t="s">
        <v>8</v>
      </c>
      <c r="W6" s="21"/>
      <c r="X6" s="21"/>
      <c r="Y6" s="21"/>
      <c r="Z6" s="21"/>
      <c r="AA6" s="21" t="s">
        <v>9</v>
      </c>
      <c r="AB6" s="21"/>
      <c r="AC6" s="21"/>
      <c r="AD6" s="21"/>
      <c r="AE6" s="21"/>
      <c r="AF6" s="21" t="s">
        <v>10</v>
      </c>
      <c r="AG6" s="21"/>
      <c r="AH6" s="21"/>
      <c r="AI6" s="21"/>
      <c r="AJ6" s="21"/>
      <c r="AK6" s="22" t="s">
        <v>11</v>
      </c>
      <c r="AL6" s="22"/>
      <c r="AM6" s="22"/>
      <c r="AN6" s="22"/>
      <c r="AO6" s="22"/>
      <c r="AP6" s="22" t="s">
        <v>12</v>
      </c>
      <c r="AQ6" s="22"/>
      <c r="AR6" s="22"/>
      <c r="AS6" s="22"/>
      <c r="AT6" s="22"/>
      <c r="AU6" s="22" t="s">
        <v>13</v>
      </c>
      <c r="AV6" s="22"/>
      <c r="AW6" s="22"/>
      <c r="AX6" s="22"/>
      <c r="AY6" s="22"/>
    </row>
    <row r="7" spans="1:51" ht="13.5" customHeight="1" x14ac:dyDescent="0.25">
      <c r="A7" s="23" t="s">
        <v>14</v>
      </c>
      <c r="B7" s="23" t="s">
        <v>15</v>
      </c>
      <c r="C7" s="23" t="s">
        <v>16</v>
      </c>
      <c r="D7" s="23" t="s">
        <v>17</v>
      </c>
      <c r="E7" s="23" t="s">
        <v>18</v>
      </c>
      <c r="F7" s="23" t="s">
        <v>19</v>
      </c>
      <c r="G7" s="6" t="s">
        <v>20</v>
      </c>
      <c r="H7" s="6" t="s">
        <v>21</v>
      </c>
      <c r="I7" s="6" t="s">
        <v>22</v>
      </c>
      <c r="J7" s="6" t="s">
        <v>21</v>
      </c>
      <c r="K7" s="6" t="s">
        <v>23</v>
      </c>
      <c r="L7" s="6" t="s">
        <v>20</v>
      </c>
      <c r="M7" s="6" t="s">
        <v>21</v>
      </c>
      <c r="N7" s="6" t="s">
        <v>22</v>
      </c>
      <c r="O7" s="6" t="s">
        <v>21</v>
      </c>
      <c r="P7" s="6" t="s">
        <v>23</v>
      </c>
      <c r="Q7" s="6" t="s">
        <v>20</v>
      </c>
      <c r="R7" s="6" t="s">
        <v>21</v>
      </c>
      <c r="S7" s="6" t="s">
        <v>22</v>
      </c>
      <c r="T7" s="6" t="s">
        <v>21</v>
      </c>
      <c r="U7" s="6" t="s">
        <v>23</v>
      </c>
      <c r="V7" s="6" t="s">
        <v>20</v>
      </c>
      <c r="W7" s="6" t="s">
        <v>21</v>
      </c>
      <c r="X7" s="6" t="s">
        <v>22</v>
      </c>
      <c r="Y7" s="6" t="s">
        <v>21</v>
      </c>
      <c r="Z7" s="6" t="s">
        <v>23</v>
      </c>
      <c r="AA7" s="6" t="s">
        <v>20</v>
      </c>
      <c r="AB7" s="6" t="s">
        <v>21</v>
      </c>
      <c r="AC7" s="6" t="s">
        <v>22</v>
      </c>
      <c r="AD7" s="6" t="s">
        <v>21</v>
      </c>
      <c r="AE7" s="6" t="s">
        <v>23</v>
      </c>
      <c r="AF7" s="6" t="s">
        <v>20</v>
      </c>
      <c r="AG7" s="6" t="s">
        <v>21</v>
      </c>
      <c r="AH7" s="6" t="s">
        <v>22</v>
      </c>
      <c r="AI7" s="6" t="s">
        <v>21</v>
      </c>
      <c r="AJ7" s="6" t="s">
        <v>23</v>
      </c>
      <c r="AK7" s="6" t="s">
        <v>20</v>
      </c>
      <c r="AL7" s="6" t="s">
        <v>21</v>
      </c>
      <c r="AM7" s="6" t="s">
        <v>22</v>
      </c>
      <c r="AN7" s="6" t="s">
        <v>21</v>
      </c>
      <c r="AO7" s="6" t="s">
        <v>23</v>
      </c>
      <c r="AP7" s="6" t="s">
        <v>20</v>
      </c>
      <c r="AQ7" s="6" t="s">
        <v>21</v>
      </c>
      <c r="AR7" s="6" t="s">
        <v>22</v>
      </c>
      <c r="AS7" s="6" t="s">
        <v>21</v>
      </c>
      <c r="AT7" s="6" t="s">
        <v>23</v>
      </c>
      <c r="AU7" s="6" t="s">
        <v>20</v>
      </c>
      <c r="AV7" s="6" t="s">
        <v>21</v>
      </c>
      <c r="AW7" s="6" t="s">
        <v>22</v>
      </c>
      <c r="AX7" s="6" t="s">
        <v>21</v>
      </c>
      <c r="AY7" s="6" t="s">
        <v>23</v>
      </c>
    </row>
    <row r="8" spans="1:51" ht="33.75" customHeight="1" x14ac:dyDescent="0.25">
      <c r="A8" s="23"/>
      <c r="B8" s="23"/>
      <c r="C8" s="23"/>
      <c r="D8" s="23"/>
      <c r="E8" s="23"/>
      <c r="F8" s="23"/>
      <c r="G8" s="7">
        <f>$C$4</f>
        <v>46293</v>
      </c>
      <c r="H8" s="7">
        <f>G8+1</f>
        <v>46294</v>
      </c>
      <c r="I8" s="7">
        <f>H8+1</f>
        <v>46295</v>
      </c>
      <c r="J8" s="7">
        <f>I8+1</f>
        <v>46296</v>
      </c>
      <c r="K8" s="7">
        <f>J8+1</f>
        <v>46297</v>
      </c>
      <c r="L8" s="7">
        <f>K8+3</f>
        <v>46300</v>
      </c>
      <c r="M8" s="7">
        <f>L8+1</f>
        <v>46301</v>
      </c>
      <c r="N8" s="7">
        <f>M8+1</f>
        <v>46302</v>
      </c>
      <c r="O8" s="7">
        <f>N8+1</f>
        <v>46303</v>
      </c>
      <c r="P8" s="7">
        <f>O8+1</f>
        <v>46304</v>
      </c>
      <c r="Q8" s="7">
        <f>P8+3</f>
        <v>46307</v>
      </c>
      <c r="R8" s="7">
        <f>Q8+1</f>
        <v>46308</v>
      </c>
      <c r="S8" s="7">
        <f>R8+1</f>
        <v>46309</v>
      </c>
      <c r="T8" s="7">
        <f>S8+1</f>
        <v>46310</v>
      </c>
      <c r="U8" s="7">
        <f>T8+1</f>
        <v>46311</v>
      </c>
      <c r="V8" s="7">
        <f>U8+3</f>
        <v>46314</v>
      </c>
      <c r="W8" s="7">
        <f>V8+1</f>
        <v>46315</v>
      </c>
      <c r="X8" s="7">
        <f>W8+1</f>
        <v>46316</v>
      </c>
      <c r="Y8" s="7">
        <f>X8+1</f>
        <v>46317</v>
      </c>
      <c r="Z8" s="7">
        <f>Y8+1</f>
        <v>46318</v>
      </c>
      <c r="AA8" s="7">
        <f>Z8+3</f>
        <v>46321</v>
      </c>
      <c r="AB8" s="7">
        <f>AA8+1</f>
        <v>46322</v>
      </c>
      <c r="AC8" s="7">
        <f>AB8+1</f>
        <v>46323</v>
      </c>
      <c r="AD8" s="7">
        <f>AC8+1</f>
        <v>46324</v>
      </c>
      <c r="AE8" s="7">
        <f>AD8+1</f>
        <v>46325</v>
      </c>
      <c r="AF8" s="7">
        <f>AE8+3</f>
        <v>46328</v>
      </c>
      <c r="AG8" s="7">
        <f>AF8+1</f>
        <v>46329</v>
      </c>
      <c r="AH8" s="7">
        <f>AG8+1</f>
        <v>46330</v>
      </c>
      <c r="AI8" s="7">
        <f>AH8+1</f>
        <v>46331</v>
      </c>
      <c r="AJ8" s="7">
        <f>AI8+1</f>
        <v>46332</v>
      </c>
      <c r="AK8" s="7">
        <f>AJ8+3</f>
        <v>46335</v>
      </c>
      <c r="AL8" s="7">
        <f>AK8+1</f>
        <v>46336</v>
      </c>
      <c r="AM8" s="7">
        <f>AL8+1</f>
        <v>46337</v>
      </c>
      <c r="AN8" s="7">
        <f>AM8+1</f>
        <v>46338</v>
      </c>
      <c r="AO8" s="7">
        <f>AN8+1</f>
        <v>46339</v>
      </c>
      <c r="AP8" s="7">
        <f>AO8+3</f>
        <v>46342</v>
      </c>
      <c r="AQ8" s="7">
        <f>AP8+1</f>
        <v>46343</v>
      </c>
      <c r="AR8" s="7">
        <f>AQ8+1</f>
        <v>46344</v>
      </c>
      <c r="AS8" s="7">
        <f>AR8+1</f>
        <v>46345</v>
      </c>
      <c r="AT8" s="7">
        <f>AS8+1</f>
        <v>46346</v>
      </c>
      <c r="AU8" s="7">
        <f>AT8+3</f>
        <v>46349</v>
      </c>
      <c r="AV8" s="7">
        <f>AU8+1</f>
        <v>46350</v>
      </c>
      <c r="AW8" s="7">
        <f>AV8+1</f>
        <v>46351</v>
      </c>
      <c r="AX8" s="7">
        <f>AW8+1</f>
        <v>46352</v>
      </c>
      <c r="AY8" s="7">
        <f>AX8+1</f>
        <v>46353</v>
      </c>
    </row>
    <row r="9" spans="1:51" ht="25.5" customHeight="1" x14ac:dyDescent="0.25">
      <c r="A9" s="8" t="s">
        <v>24</v>
      </c>
      <c r="B9" s="9" t="s">
        <v>25</v>
      </c>
      <c r="C9" s="10">
        <v>46293</v>
      </c>
      <c r="D9" s="10">
        <v>46296</v>
      </c>
      <c r="E9" s="11" t="s">
        <v>26</v>
      </c>
      <c r="F9" s="12" t="str">
        <f>NETWORKDAYS(C9,D9)&amp;" days"</f>
        <v>4 days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spans="1:51" ht="25.5" customHeight="1" x14ac:dyDescent="0.25">
      <c r="A10" s="14" t="s">
        <v>27</v>
      </c>
      <c r="B10" s="15" t="s">
        <v>28</v>
      </c>
      <c r="C10" s="16">
        <f>MIN(C11:C13)</f>
        <v>46293</v>
      </c>
      <c r="D10" s="16">
        <f>MAX(D11:D13)</f>
        <v>46311</v>
      </c>
      <c r="E10" s="17"/>
      <c r="F10" s="18" t="str">
        <f>ROUND(NETWORKDAYS(C10,D10)/5,1)&amp;" weeks"</f>
        <v>3 weeks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spans="1:51" ht="25.5" customHeight="1" x14ac:dyDescent="0.25">
      <c r="A11" s="8" t="s">
        <v>29</v>
      </c>
      <c r="B11" s="9" t="s">
        <v>30</v>
      </c>
      <c r="C11" s="10">
        <v>46293</v>
      </c>
      <c r="D11" s="10">
        <v>46304</v>
      </c>
      <c r="E11" s="11"/>
      <c r="F11" s="12" t="str">
        <f>NETWORKDAYS(C11,D11)&amp;" days"</f>
        <v>10 days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</row>
    <row r="12" spans="1:51" ht="25.5" customHeight="1" x14ac:dyDescent="0.25">
      <c r="A12" s="8" t="s">
        <v>31</v>
      </c>
      <c r="B12" s="9" t="s">
        <v>32</v>
      </c>
      <c r="C12" s="10">
        <v>46295</v>
      </c>
      <c r="D12" s="10">
        <v>46302</v>
      </c>
      <c r="E12" s="11"/>
      <c r="F12" s="12" t="str">
        <f>NETWORKDAYS(C12,D12)&amp;" days"</f>
        <v>6 days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</row>
    <row r="13" spans="1:51" ht="25.5" customHeight="1" x14ac:dyDescent="0.25">
      <c r="A13" s="8" t="s">
        <v>33</v>
      </c>
      <c r="B13" s="9" t="s">
        <v>34</v>
      </c>
      <c r="C13" s="10">
        <v>46300</v>
      </c>
      <c r="D13" s="10">
        <v>46311</v>
      </c>
      <c r="E13" s="11"/>
      <c r="F13" s="12" t="str">
        <f>NETWORKDAYS(C13,D13)&amp;" days"</f>
        <v>10 days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</row>
    <row r="14" spans="1:51" ht="25.5" customHeight="1" x14ac:dyDescent="0.25">
      <c r="A14" s="14" t="s">
        <v>35</v>
      </c>
      <c r="B14" s="15" t="s">
        <v>36</v>
      </c>
      <c r="C14" s="16">
        <f>MIN(C15:C20)</f>
        <v>46307</v>
      </c>
      <c r="D14" s="16">
        <f>MAX(D15:D20)</f>
        <v>46339</v>
      </c>
      <c r="E14" s="17"/>
      <c r="F14" s="18" t="str">
        <f>ROUND(NETWORKDAYS(C14,D14)/5,1)&amp;" weeks"</f>
        <v>5 weeks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</row>
    <row r="15" spans="1:51" ht="25.5" customHeight="1" x14ac:dyDescent="0.25">
      <c r="A15" s="8" t="s">
        <v>37</v>
      </c>
      <c r="B15" s="9" t="s">
        <v>38</v>
      </c>
      <c r="C15" s="10">
        <v>46307</v>
      </c>
      <c r="D15" s="10">
        <v>46318</v>
      </c>
      <c r="E15" s="11" t="s">
        <v>39</v>
      </c>
      <c r="F15" s="12" t="str">
        <f t="shared" ref="F15:F20" si="0">NETWORKDAYS(C15,D15)&amp;" days"</f>
        <v>10 days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</row>
    <row r="16" spans="1:51" ht="25.5" customHeight="1" x14ac:dyDescent="0.25">
      <c r="A16" s="8" t="s">
        <v>40</v>
      </c>
      <c r="B16" s="9" t="s">
        <v>41</v>
      </c>
      <c r="C16" s="10">
        <v>46307</v>
      </c>
      <c r="D16" s="10">
        <v>46318</v>
      </c>
      <c r="E16" s="11" t="s">
        <v>42</v>
      </c>
      <c r="F16" s="12" t="str">
        <f t="shared" si="0"/>
        <v>10 days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  <row r="17" spans="1:51" ht="25.5" customHeight="1" x14ac:dyDescent="0.25">
      <c r="A17" s="8" t="s">
        <v>43</v>
      </c>
      <c r="B17" s="9" t="s">
        <v>44</v>
      </c>
      <c r="C17" s="10">
        <v>46307</v>
      </c>
      <c r="D17" s="10">
        <v>46332</v>
      </c>
      <c r="E17" s="11" t="s">
        <v>45</v>
      </c>
      <c r="F17" s="12" t="str">
        <f t="shared" si="0"/>
        <v>20 days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</row>
    <row r="18" spans="1:51" ht="25.5" customHeight="1" x14ac:dyDescent="0.25">
      <c r="A18" s="8" t="s">
        <v>46</v>
      </c>
      <c r="B18" s="9" t="s">
        <v>47</v>
      </c>
      <c r="C18" s="10">
        <v>46314</v>
      </c>
      <c r="D18" s="10">
        <v>46332</v>
      </c>
      <c r="E18" s="11" t="s">
        <v>48</v>
      </c>
      <c r="F18" s="12" t="str">
        <f t="shared" si="0"/>
        <v>15 days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</row>
    <row r="19" spans="1:51" ht="25.5" customHeight="1" x14ac:dyDescent="0.25">
      <c r="A19" s="8" t="s">
        <v>49</v>
      </c>
      <c r="B19" s="9" t="s">
        <v>50</v>
      </c>
      <c r="C19" s="10">
        <v>46321</v>
      </c>
      <c r="D19" s="10">
        <v>46332</v>
      </c>
      <c r="E19" s="11"/>
      <c r="F19" s="12" t="str">
        <f t="shared" si="0"/>
        <v>10 days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</row>
    <row r="20" spans="1:51" ht="25.5" customHeight="1" x14ac:dyDescent="0.25">
      <c r="A20" s="8" t="s">
        <v>51</v>
      </c>
      <c r="B20" s="9" t="s">
        <v>52</v>
      </c>
      <c r="C20" s="10">
        <v>46328</v>
      </c>
      <c r="D20" s="10">
        <v>46339</v>
      </c>
      <c r="E20" s="11"/>
      <c r="F20" s="12" t="str">
        <f t="shared" si="0"/>
        <v>10 days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</row>
    <row r="21" spans="1:51" ht="25.5" customHeight="1" x14ac:dyDescent="0.25">
      <c r="A21" s="14" t="s">
        <v>53</v>
      </c>
      <c r="B21" s="15" t="s">
        <v>54</v>
      </c>
      <c r="C21" s="16">
        <f>MIN(C22:C25)</f>
        <v>46335</v>
      </c>
      <c r="D21" s="16">
        <f>MAX(D22:D25)</f>
        <v>46351</v>
      </c>
      <c r="E21" s="17"/>
      <c r="F21" s="18" t="str">
        <f>ROUND(NETWORKDAYS(C21,D21)/5,1)&amp;" weeks"</f>
        <v>2.6 weeks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1:51" ht="25.5" customHeight="1" x14ac:dyDescent="0.25">
      <c r="A22" s="8" t="s">
        <v>55</v>
      </c>
      <c r="B22" s="9" t="s">
        <v>56</v>
      </c>
      <c r="C22" s="10">
        <v>46335</v>
      </c>
      <c r="D22" s="10">
        <v>46344</v>
      </c>
      <c r="E22" s="11"/>
      <c r="F22" s="12" t="str">
        <f>NETWORKDAYS(C22,D22)&amp;" days"</f>
        <v>8 days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</row>
    <row r="23" spans="1:51" ht="25.5" customHeight="1" x14ac:dyDescent="0.25">
      <c r="A23" s="8" t="s">
        <v>57</v>
      </c>
      <c r="B23" s="9" t="s">
        <v>58</v>
      </c>
      <c r="C23" s="10">
        <v>46342</v>
      </c>
      <c r="D23" s="10">
        <v>46346</v>
      </c>
      <c r="E23" s="11"/>
      <c r="F23" s="12" t="str">
        <f>NETWORKDAYS(C23,D23)&amp;" days"</f>
        <v>5 days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 spans="1:51" ht="25.5" customHeight="1" x14ac:dyDescent="0.25">
      <c r="A24" s="8" t="s">
        <v>59</v>
      </c>
      <c r="B24" s="9" t="s">
        <v>60</v>
      </c>
      <c r="C24" s="10">
        <v>46335</v>
      </c>
      <c r="D24" s="10">
        <v>46351</v>
      </c>
      <c r="E24" s="11" t="s">
        <v>61</v>
      </c>
      <c r="F24" s="12" t="str">
        <f>NETWORKDAYS(C24,D24)&amp;" days"</f>
        <v>13 days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</row>
    <row r="25" spans="1:51" ht="25.5" customHeight="1" x14ac:dyDescent="0.25">
      <c r="A25" s="8" t="s">
        <v>62</v>
      </c>
      <c r="B25" s="9" t="s">
        <v>63</v>
      </c>
      <c r="C25" s="10">
        <v>46344</v>
      </c>
      <c r="D25" s="10">
        <v>46351</v>
      </c>
      <c r="E25" s="11" t="s">
        <v>64</v>
      </c>
      <c r="F25" s="12" t="str">
        <f>NETWORKDAYS(C25,D25)&amp;" days"</f>
        <v>6 days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</row>
    <row r="27" spans="1:51" x14ac:dyDescent="0.25">
      <c r="A27" s="3" t="s">
        <v>65</v>
      </c>
    </row>
    <row r="28" spans="1:51" x14ac:dyDescent="0.25">
      <c r="A28" s="19" t="s">
        <v>66</v>
      </c>
    </row>
    <row r="29" spans="1:51" x14ac:dyDescent="0.25">
      <c r="A29" s="19" t="s">
        <v>67</v>
      </c>
    </row>
    <row r="30" spans="1:51" x14ac:dyDescent="0.25">
      <c r="A30" s="19" t="s">
        <v>68</v>
      </c>
    </row>
    <row r="31" spans="1:51" x14ac:dyDescent="0.25">
      <c r="A31" s="19" t="s">
        <v>69</v>
      </c>
    </row>
  </sheetData>
  <mergeCells count="15">
    <mergeCell ref="AF6:AJ6"/>
    <mergeCell ref="AK6:AO6"/>
    <mergeCell ref="AP6:AT6"/>
    <mergeCell ref="AU6:AY6"/>
    <mergeCell ref="A7:A8"/>
    <mergeCell ref="B7:B8"/>
    <mergeCell ref="C7:C8"/>
    <mergeCell ref="D7:D8"/>
    <mergeCell ref="E7:E8"/>
    <mergeCell ref="F7:F8"/>
    <mergeCell ref="G6:K6"/>
    <mergeCell ref="L6:P6"/>
    <mergeCell ref="Q6:U6"/>
    <mergeCell ref="V6:Z6"/>
    <mergeCell ref="AA6:AE6"/>
  </mergeCells>
  <conditionalFormatting sqref="G9:AY9 G10:U10 X10:AY10 G11:AY25">
    <cfRule type="expression" dxfId="3" priority="2">
      <formula>AND(G$8&gt;=$C9,G$8&lt;=$D9,LEFT($A9,5)="Phase")</formula>
    </cfRule>
    <cfRule type="expression" dxfId="2" priority="3">
      <formula>AND(G$8&gt;=$C9,G$8&lt;=$D9)</formula>
    </cfRule>
  </conditionalFormatting>
  <conditionalFormatting sqref="V10">
    <cfRule type="expression" dxfId="1" priority="6">
      <formula>AND(W$8&gt;=$C10,W$8&lt;=$D10,LEFT($A10,5)="Phase")</formula>
    </cfRule>
    <cfRule type="expression" dxfId="0" priority="7">
      <formula>AND(W$8&gt;=$C10,W$8&lt;=$D10)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89D00AA73A9429D6D526BBD44345C" ma:contentTypeVersion="8" ma:contentTypeDescription="Create a new document." ma:contentTypeScope="" ma:versionID="4d0bd50204ab9551dc710233b875be22">
  <xsd:schema xmlns:xsd="http://www.w3.org/2001/XMLSchema" xmlns:xs="http://www.w3.org/2001/XMLSchema" xmlns:p="http://schemas.microsoft.com/office/2006/metadata/properties" xmlns:ns3="06f9ab23-a1f2-4051-8a15-b8908eb89d9e" targetNamespace="http://schemas.microsoft.com/office/2006/metadata/properties" ma:root="true" ma:fieldsID="7d66ff5ba2bbc8431c45a3f0de554e0d" ns3:_="">
    <xsd:import namespace="06f9ab23-a1f2-4051-8a15-b8908eb89d9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9ab23-a1f2-4051-8a15-b8908eb89d9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E16FD7-FE25-41F9-BE29-DB7397ED8B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1ADCBC-11DC-47E9-AF70-6FC774553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f9ab23-a1f2-4051-8a15-b8908eb89d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0A956F-5E9B-4837-AC82-ADE23DCF7376}">
  <ds:schemaRefs>
    <ds:schemaRef ds:uri="http://schemas.microsoft.com/office/infopath/2007/PartnerControls"/>
    <ds:schemaRef ds:uri="http://purl.org/dc/dcmitype/"/>
    <ds:schemaRef ds:uri="06f9ab23-a1f2-4051-8a15-b8908eb89d9e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Ang Yu Xuan</dc:creator>
  <dc:description/>
  <cp:lastModifiedBy>Daniel Ang Yu Xuan</cp:lastModifiedBy>
  <cp:revision>0</cp:revision>
  <dcterms:created xsi:type="dcterms:W3CDTF">2026-10-06T15:25:47Z</dcterms:created>
  <dcterms:modified xsi:type="dcterms:W3CDTF">2026-10-20T12:40:13Z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0x01010075189D00AA73A9429D6D526BBD44345C</vt:lpwstr>
  </property>
</Properties>
</file>